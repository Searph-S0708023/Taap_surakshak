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opulation_by_Year" sheetId="2" state="visible" r:id="rId4"/>
    <sheet name="Population_Density" sheetId="3" state="visible" r:id="rId5"/>
    <sheet name="Age_Groups_2011" sheetId="4" state="visible" r:id="rId6"/>
    <sheet name="Elderly_Population_Tre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<sst xmlns="http://schemas.openxmlformats.org/spreadsheetml/2006/main" count="208" uniqueCount="102">
  <si>
    <t xml:space="preserve">Mumbai Population Database</t>
  </si>
  <si>
    <t xml:space="preserve">Compiled from public Census of India data and published demographic estimates</t>
  </si>
  <si>
    <t xml:space="preserve">IMPORTANT CONTEXT</t>
  </si>
  <si>
    <t xml:space="preserve">• India's last full Census was in 2011. The 2021 Census was postponed (COVID-19) and has not yet been conducted as of 2026.</t>
  </si>
  <si>
    <t xml:space="preserve">• All figures for 2001 and 2011 in this workbook are ACTUAL CENSUS DATA (blue font).</t>
  </si>
  <si>
    <t xml:space="preserve">• All figures for 2012 onward are ESTIMATES / PROJECTIONS (black font, formula-driven from a growth rate), not headcounts, unless a specific published estimate is cited.</t>
  </si>
  <si>
    <t xml:space="preserve">• "Mumbai" is reported under several different geographic boundaries — figures differ a lot depending on which one a source uses:</t>
  </si>
  <si>
    <t xml:space="preserve">     1. Mumbai City district (Island City) — 157 km²</t>
  </si>
  <si>
    <t xml:space="preserve">     2. Mumbai Suburban district — 446 km²</t>
  </si>
  <si>
    <t xml:space="preserve">     3. Greater Mumbai (Mumbai City + Mumbai Suburban, i.e. the Municipal Corporation area, "MCGM") — 603 km²</t>
  </si>
  <si>
    <t xml:space="preserve">     4. Mumbai Urban Agglomeration (UA) — Greater Mumbai + contiguous urban outgrowths — ~20.7M in 2011</t>
  </si>
  <si>
    <t xml:space="preserve">     5. Mumbai Metropolitan Region (MMR) — Greater Mumbai + Thane, Navi Mumbai, Kalyan, Vasai-Virar, etc. — 6,328 km²</t>
  </si>
  <si>
    <t xml:space="preserve">• Age-group breakdowns below district level (esp. year-wise) are NOT freely published online in granular form.</t>
  </si>
  <si>
    <t xml:space="preserve">   Exact figures require Census tables C-13/C-14 (censusindia.gov.in) or a paid Indiastat.com subscription.</t>
  </si>
  <si>
    <t xml:space="preserve">   Where Mumbai-specific data was unavailable, this workbook applies national/state age-structure ratios to Mumbai's population as a documented proxy — clearly marked ESTIMATED.</t>
  </si>
  <si>
    <t xml:space="preserve">SHEETS IN THIS WORKBOOK</t>
  </si>
  <si>
    <t xml:space="preserve">1. Population_by_Year — Year-wise population, 2001-2031, for each geography above</t>
  </si>
  <si>
    <t xml:space="preserve">2. Population_Density — Area &amp; density (people/km²) by district, 2001-2031</t>
  </si>
  <si>
    <t xml:space="preserve">3. Age_Groups_2011 — Age-group split for base year 2011 (children / working-age / elderly)</t>
  </si>
  <si>
    <t xml:space="preserve">4. Elderly_Population_Trend — Year-wise estimated 60+ population, 2001-2031</t>
  </si>
  <si>
    <t xml:space="preserve">SOURCES</t>
  </si>
  <si>
    <t xml:space="preserve">• Census of India 2011 — census2011.co.in (Mumbai City &amp; Mumbai Suburban district pages)</t>
  </si>
  <si>
    <t xml:space="preserve">• censusofindia.net — Mumbai District religion/age/literacy profile</t>
  </si>
  <si>
    <t xml:space="preserve">• mumbaicity.gov.in — Official Mumbai City district demography page</t>
  </si>
  <si>
    <t xml:space="preserve">• populationu.com — Mumbai Metropolitan Region (MMR) estimates, sourced from UN World Urbanization Prospects</t>
  </si>
  <si>
    <t xml:space="preserve">• worldpopulationreview.com — Mumbai Urban Agglomeration estimates</t>
  </si>
  <si>
    <t xml:space="preserve">• census2011.co.in / population.city — growth-rate-based projections</t>
  </si>
  <si>
    <t xml:space="preserve">• UNFPA/BKPAI "Status of Elderly in Maharashtra, 2011" — elderly (60+) demographic context</t>
  </si>
  <si>
    <t xml:space="preserve">• Census of India 2011 national figure — 60+ population = 8.6% of total population</t>
  </si>
  <si>
    <t xml:space="preserve">• UNDESA (2008) — India 60+ share projected to rise from 7.5% (2010) to 11.1% (2025)</t>
  </si>
  <si>
    <t xml:space="preserve">COLOR KEY</t>
  </si>
  <si>
    <t xml:space="preserve">Blue text = actual reported data (census or a cited published estimate)</t>
  </si>
  <si>
    <t xml:space="preserve">Black text = calculated by formula (projection / derived value)</t>
  </si>
  <si>
    <t xml:space="preserve">Mumbai — Year-wise Population by Geography (2001–2031)</t>
  </si>
  <si>
    <t xml:space="preserve">GROWTH RATE ASSUMPTIONS (derived from actual anchor-year data; used to project forward)</t>
  </si>
  <si>
    <t xml:space="preserve">Geography</t>
  </si>
  <si>
    <t xml:space="preserve">Anchor Year 1</t>
  </si>
  <si>
    <t xml:space="preserve">Anchor Pop 1</t>
  </si>
  <si>
    <t xml:space="preserve">Anchor Year 2</t>
  </si>
  <si>
    <t xml:space="preserve">Anchor Pop 2</t>
  </si>
  <si>
    <t xml:space="preserve">CAGR (annual growth rate, formula)</t>
  </si>
  <si>
    <t xml:space="preserve">Mumbai City district</t>
  </si>
  <si>
    <t xml:space="preserve">Mumbai Suburban district</t>
  </si>
  <si>
    <t xml:space="preserve">Greater Mumbai (City+Suburban, MCGM)</t>
  </si>
  <si>
    <t xml:space="preserve">Mumbai Urban Agglomeration (UA)</t>
  </si>
  <si>
    <t xml:space="preserve">Mumbai Metropolitan Region (MMR)</t>
  </si>
  <si>
    <t xml:space="preserve">Note: 2001 figures for City/Suburban districts are back-calculated from published 2001 density figures (density × area). UA and MMR anchors are as published by cited sources (see README); different sources define these boundaries slightly differently.</t>
  </si>
  <si>
    <t xml:space="preserve">YEAR-WISE POPULATION TABLE</t>
  </si>
  <si>
    <t xml:space="preserve">Year</t>
  </si>
  <si>
    <t xml:space="preserve">Greater Mumbai (MCGM)</t>
  </si>
  <si>
    <t xml:space="preserve">Mumbai Urban Agglomeration</t>
  </si>
  <si>
    <t xml:space="preserve">Mumbai Metro Region (MMR)</t>
  </si>
  <si>
    <t xml:space="preserve">Data Type</t>
  </si>
  <si>
    <t xml:space="preserve">Notes</t>
  </si>
  <si>
    <t xml:space="preserve">n/a</t>
  </si>
  <si>
    <t xml:space="preserve">Actual (Census)</t>
  </si>
  <si>
    <t xml:space="preserve">Census year</t>
  </si>
  <si>
    <t xml:space="preserve">Projected</t>
  </si>
  <si>
    <t xml:space="preserve">Published estimate</t>
  </si>
  <si>
    <t xml:space="preserve">Mumbai — Population Density by District (people per km²)</t>
  </si>
  <si>
    <t xml:space="preserve">Region</t>
  </si>
  <si>
    <t xml:space="preserve">Area (km²)</t>
  </si>
  <si>
    <t xml:space="preserve">Pop 2001</t>
  </si>
  <si>
    <t xml:space="preserve">Density 2001</t>
  </si>
  <si>
    <t xml:space="preserve">Pop 2011</t>
  </si>
  <si>
    <t xml:space="preserve">Density 2011</t>
  </si>
  <si>
    <t xml:space="preserve">Pop 2021 (proj.)</t>
  </si>
  <si>
    <t xml:space="preserve">Density 2021 (proj.)</t>
  </si>
  <si>
    <t xml:space="preserve">Pop 2026 (proj.)</t>
  </si>
  <si>
    <t xml:space="preserve">Density 2026 (proj.)</t>
  </si>
  <si>
    <t xml:space="preserve">Greater Mumbai (MCGM, total)</t>
  </si>
  <si>
    <t xml:space="preserve">MMR (Mumbai Metropolitan Region)</t>
  </si>
  <si>
    <t xml:space="preserve">Note: Density = Population ÷ Area. 2021/2026 columns use projected population from the Population_by_Year sheet (growth-rate model), not a re-measured area.</t>
  </si>
  <si>
    <t xml:space="preserve">Mumbai — Age-Group Breakdown (2011 Census base year)</t>
  </si>
  <si>
    <t xml:space="preserve">Mumbai City district — actual Census 2011 figures where available</t>
  </si>
  <si>
    <t xml:space="preserve">Age Group</t>
  </si>
  <si>
    <t xml:space="preserve">Population</t>
  </si>
  <si>
    <t xml:space="preserve">% of District Total</t>
  </si>
  <si>
    <t xml:space="preserve">Source / Method</t>
  </si>
  <si>
    <t xml:space="preserve">0–6 years (children)</t>
  </si>
  <si>
    <t xml:space="preserve">Actual (Census 2011)</t>
  </si>
  <si>
    <t xml:space="preserve">census2011.co.in — Mumbai City district child population</t>
  </si>
  <si>
    <t xml:space="preserve">7–14 years</t>
  </si>
  <si>
    <t xml:space="preserve">Estimated</t>
  </si>
  <si>
    <t xml:space="preserve">Modeled: national 2011 age-structure ratio (~14% of total) applied to district total, since Mumbai-specific split was not found in public sources</t>
  </si>
  <si>
    <t xml:space="preserve">15–59 years (working age)</t>
  </si>
  <si>
    <t xml:space="preserve">Modeled: national 2011 age-structure ratio (~63% of total)</t>
  </si>
  <si>
    <t xml:space="preserve">60+ years (elderly)</t>
  </si>
  <si>
    <t xml:space="preserve">Modeled: Census 2011 national ratio = 8.6% of total population</t>
  </si>
  <si>
    <t xml:space="preserve">TOTAL (check)</t>
  </si>
  <si>
    <t xml:space="preserve">Caveat: Only the 0–6 child figure is Mumbai-specific actual Census data. The 7–14 / 15–59 / 60+ splits use INDIA-wide 2011 age-structure ratios applied to Mumbai's population, because granular Mumbai-only age-band tables (Census C-13/C-14 series) were not available through public web search. For precise Mumbai figures, pull table C-13 from censusindia.gov.in or an Indiastat.com subscription.</t>
  </si>
  <si>
    <t xml:space="preserve">Mumbai — Estimated Elderly (60+) Population, Year-wise</t>
  </si>
  <si>
    <t xml:space="preserve">Method: applies the national 60+ population share (rising over time per UNDESA projections) to Mumbai's Greater Mumbai (MCGM) population for each year.</t>
  </si>
  <si>
    <t xml:space="preserve">Greater Mumbai Population</t>
  </si>
  <si>
    <t xml:space="preserve">National 60+ Share (interpolated)</t>
  </si>
  <si>
    <t xml:space="preserve">Estimated 60+ Population (Mumbai)</t>
  </si>
  <si>
    <t xml:space="preserve">Source</t>
  </si>
  <si>
    <t xml:space="preserve">Interpolated/Extrapolated</t>
  </si>
  <si>
    <t xml:space="preserve">Modeled</t>
  </si>
  <si>
    <t xml:space="preserve">Published estimate (UNDESA)</t>
  </si>
  <si>
    <t xml:space="preserve">UNDESA 2008 projection</t>
  </si>
  <si>
    <t xml:space="preserve">Census 2011 (national 8.6%)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</si>
</sst>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#,##0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1"/>
      <color rgb="FF1F4E78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3" t="s">
        <v>12</v>
      </c>
    </row>
    <row r="15" customFormat="false" ht="15" hidden="false" customHeight="false" outlineLevel="0" collapsed="false">
      <c r="A15" s="3" t="s">
        <v>13</v>
      </c>
    </row>
    <row r="16" customFormat="false" ht="15" hidden="false" customHeight="false" outlineLevel="0" collapsed="false">
      <c r="A16" s="3" t="s">
        <v>14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15</v>
      </c>
    </row>
    <row r="19" customFormat="false" ht="15" hidden="false" customHeight="false" outlineLevel="0" collapsed="false">
      <c r="A19" s="3" t="s">
        <v>16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3" t="s">
        <v>18</v>
      </c>
    </row>
    <row r="22" customFormat="false" ht="15" hidden="false" customHeight="false" outlineLevel="0" collapsed="false">
      <c r="A22" s="3" t="s">
        <v>19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20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3" t="s">
        <v>22</v>
      </c>
    </row>
    <row r="27" customFormat="false" ht="15" hidden="false" customHeight="false" outlineLevel="0" collapsed="false">
      <c r="A27" s="3" t="s">
        <v>23</v>
      </c>
    </row>
    <row r="28" customFormat="false" ht="15" hidden="false" customHeight="false" outlineLevel="0" collapsed="false">
      <c r="A28" s="3" t="s">
        <v>24</v>
      </c>
    </row>
    <row r="29" customFormat="false" ht="15" hidden="false" customHeight="false" outlineLevel="0" collapsed="false">
      <c r="A29" s="3" t="s">
        <v>25</v>
      </c>
    </row>
    <row r="30" customFormat="false" ht="15" hidden="false" customHeight="false" outlineLevel="0" collapsed="false">
      <c r="A30" s="3" t="s">
        <v>26</v>
      </c>
    </row>
    <row r="31" customFormat="false" ht="15" hidden="false" customHeight="false" outlineLevel="0" collapsed="false">
      <c r="A31" s="3" t="s">
        <v>27</v>
      </c>
    </row>
    <row r="32" customFormat="false" ht="15" hidden="false" customHeight="false" outlineLevel="0" collapsed="false">
      <c r="A32" s="3" t="s">
        <v>28</v>
      </c>
    </row>
    <row r="33" customFormat="false" ht="15" hidden="false" customHeight="false" outlineLevel="0" collapsed="false">
      <c r="A33" s="3" t="s">
        <v>29</v>
      </c>
    </row>
    <row r="34" customFormat="false" ht="15" hidden="false" customHeight="false" outlineLevel="0" collapsed="false">
      <c r="A34" s="3"/>
    </row>
    <row r="35" customFormat="false" ht="15" hidden="false" customHeight="false" outlineLevel="0" collapsed="false">
      <c r="A35" s="4" t="s">
        <v>30</v>
      </c>
    </row>
    <row r="36" customFormat="false" ht="15" hidden="false" customHeight="false" outlineLevel="0" collapsed="false">
      <c r="A36" s="5" t="s">
        <v>31</v>
      </c>
    </row>
    <row r="37" customFormat="false" ht="15" hidden="false" customHeight="false" outlineLevel="0" collapsed="false">
      <c r="A37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7" t="s">
        <v>33</v>
      </c>
      <c r="B1" s="7"/>
      <c r="C1" s="7"/>
      <c r="D1" s="7"/>
      <c r="E1" s="7"/>
      <c r="F1" s="7"/>
      <c r="G1" s="7"/>
      <c r="H1" s="7"/>
    </row>
    <row r="3" customFormat="false" ht="15" hidden="false" customHeight="false" outlineLevel="0" collapsed="false">
      <c r="A3" s="8" t="s">
        <v>34</v>
      </c>
      <c r="B3" s="8"/>
      <c r="C3" s="8"/>
      <c r="D3" s="8"/>
      <c r="E3" s="8"/>
      <c r="F3" s="8"/>
      <c r="G3" s="8"/>
      <c r="H3" s="8"/>
    </row>
    <row r="4" customFormat="false" ht="26.85" hidden="false" customHeight="false" outlineLevel="0" collapsed="false">
      <c r="A4" s="9" t="s">
        <v>35</v>
      </c>
      <c r="B4" s="9" t="s">
        <v>36</v>
      </c>
      <c r="C4" s="9" t="s">
        <v>37</v>
      </c>
      <c r="D4" s="9" t="s">
        <v>38</v>
      </c>
      <c r="E4" s="9" t="s">
        <v>39</v>
      </c>
      <c r="F4" s="9" t="s">
        <v>40</v>
      </c>
    </row>
    <row r="5" customFormat="false" ht="15" hidden="false" customHeight="false" outlineLevel="0" collapsed="false">
      <c r="A5" s="10" t="s">
        <v>41</v>
      </c>
      <c r="B5" s="11" t="n">
        <v>2001</v>
      </c>
      <c r="C5" s="11" t="n">
        <v>3338297</v>
      </c>
      <c r="D5" s="11" t="n">
        <v>2011</v>
      </c>
      <c r="E5" s="11" t="n">
        <v>3085411</v>
      </c>
      <c r="F5" s="12" t="n">
        <f aca="false">(E5/C5)^(1/(D5-B5))-1</f>
        <v>-0.00784664538039503</v>
      </c>
    </row>
    <row r="6" customFormat="false" ht="15" hidden="false" customHeight="false" outlineLevel="0" collapsed="false">
      <c r="A6" s="10" t="s">
        <v>42</v>
      </c>
      <c r="B6" s="11" t="n">
        <v>2001</v>
      </c>
      <c r="C6" s="11" t="n">
        <v>8640358</v>
      </c>
      <c r="D6" s="11" t="n">
        <v>2011</v>
      </c>
      <c r="E6" s="11" t="n">
        <v>9356962</v>
      </c>
      <c r="F6" s="12" t="n">
        <f aca="false">(E6/C6)^(1/(D6-B6))-1</f>
        <v>0.00799949111337672</v>
      </c>
    </row>
    <row r="7" customFormat="false" ht="15" hidden="false" customHeight="false" outlineLevel="0" collapsed="false">
      <c r="A7" s="10" t="s">
        <v>43</v>
      </c>
      <c r="B7" s="11" t="n">
        <v>2001</v>
      </c>
      <c r="C7" s="11" t="n">
        <v>11978450</v>
      </c>
      <c r="D7" s="11" t="n">
        <v>2011</v>
      </c>
      <c r="E7" s="11" t="n">
        <v>12442373</v>
      </c>
      <c r="F7" s="12" t="n">
        <f aca="false">(E7/C7)^(1/(D7-B7))-1</f>
        <v>0.00380709090304565</v>
      </c>
    </row>
    <row r="8" customFormat="false" ht="15" hidden="false" customHeight="false" outlineLevel="0" collapsed="false">
      <c r="A8" s="10" t="s">
        <v>44</v>
      </c>
      <c r="B8" s="11" t="n">
        <v>2001</v>
      </c>
      <c r="C8" s="11" t="n">
        <v>16434386</v>
      </c>
      <c r="D8" s="11" t="n">
        <v>2011</v>
      </c>
      <c r="E8" s="11" t="n">
        <v>20748395</v>
      </c>
      <c r="F8" s="12" t="n">
        <f aca="false">(E8/C8)^(1/(D8-B8))-1</f>
        <v>0.0235830896666691</v>
      </c>
    </row>
    <row r="9" customFormat="false" ht="15" hidden="false" customHeight="false" outlineLevel="0" collapsed="false">
      <c r="A9" s="10" t="s">
        <v>45</v>
      </c>
      <c r="B9" s="11" t="n">
        <v>2011</v>
      </c>
      <c r="C9" s="11" t="n">
        <v>22800000</v>
      </c>
      <c r="D9" s="11" t="n">
        <v>2023</v>
      </c>
      <c r="E9" s="11" t="n">
        <v>27230000</v>
      </c>
      <c r="F9" s="12" t="n">
        <f aca="false">(E9/C9)^(1/(D9-B9))-1</f>
        <v>0.0149065753092121</v>
      </c>
    </row>
    <row r="11" customFormat="false" ht="15" hidden="false" customHeight="false" outlineLevel="0" collapsed="false">
      <c r="A11" s="13" t="s">
        <v>46</v>
      </c>
      <c r="B11" s="13"/>
      <c r="C11" s="13"/>
      <c r="D11" s="13"/>
      <c r="E11" s="13"/>
      <c r="F11" s="13"/>
      <c r="G11" s="13"/>
      <c r="H11" s="13"/>
    </row>
    <row r="13" customFormat="false" ht="15" hidden="false" customHeight="false" outlineLevel="0" collapsed="false">
      <c r="A13" s="8" t="s">
        <v>47</v>
      </c>
      <c r="B13" s="8"/>
      <c r="C13" s="8"/>
      <c r="D13" s="8"/>
      <c r="E13" s="8"/>
      <c r="F13" s="8"/>
      <c r="G13" s="8"/>
      <c r="H13" s="8"/>
    </row>
    <row r="14" customFormat="false" ht="26.85" hidden="false" customHeight="false" outlineLevel="0" collapsed="false">
      <c r="A14" s="9" t="s">
        <v>48</v>
      </c>
      <c r="B14" s="9" t="s">
        <v>41</v>
      </c>
      <c r="C14" s="9" t="s">
        <v>42</v>
      </c>
      <c r="D14" s="9" t="s">
        <v>49</v>
      </c>
      <c r="E14" s="9" t="s">
        <v>50</v>
      </c>
      <c r="F14" s="9" t="s">
        <v>51</v>
      </c>
      <c r="G14" s="9" t="s">
        <v>52</v>
      </c>
      <c r="H14" s="9" t="s">
        <v>53</v>
      </c>
    </row>
    <row r="15" customFormat="false" ht="15" hidden="false" customHeight="false" outlineLevel="0" collapsed="false">
      <c r="A15" s="11" t="n">
        <v>2001</v>
      </c>
      <c r="B15" s="14" t="n">
        <v>3338297</v>
      </c>
      <c r="C15" s="14" t="n">
        <v>8640358</v>
      </c>
      <c r="D15" s="14" t="n">
        <v>11978450</v>
      </c>
      <c r="E15" s="14" t="n">
        <v>16434386</v>
      </c>
      <c r="F15" s="15" t="s">
        <v>54</v>
      </c>
      <c r="G15" s="16" t="s">
        <v>55</v>
      </c>
      <c r="H15" s="17" t="s">
        <v>56</v>
      </c>
    </row>
    <row r="16" customFormat="false" ht="15" hidden="false" customHeight="false" outlineLevel="0" collapsed="false">
      <c r="A16" s="11" t="n">
        <v>2002</v>
      </c>
      <c r="B16" s="18" t="n">
        <f aca="false">B15*(1+$F$5)</f>
        <v>3312102.56726656</v>
      </c>
      <c r="C16" s="18" t="n">
        <f aca="false">C15*(1+$F$6)</f>
        <v>8709476.46703739</v>
      </c>
      <c r="D16" s="18" t="n">
        <f aca="false">B16+C16</f>
        <v>12021579.034304</v>
      </c>
      <c r="E16" s="18" t="n">
        <f aca="false">E15*(1+$F$8)</f>
        <v>16821959.5986547</v>
      </c>
      <c r="F16" s="15" t="s">
        <v>54</v>
      </c>
      <c r="G16" s="16" t="s">
        <v>57</v>
      </c>
      <c r="H16" s="17"/>
    </row>
    <row r="17" customFormat="false" ht="15" hidden="false" customHeight="false" outlineLevel="0" collapsed="false">
      <c r="A17" s="11" t="n">
        <v>2003</v>
      </c>
      <c r="B17" s="18" t="n">
        <f aca="false">B16*(1+$F$5)</f>
        <v>3286113.67295773</v>
      </c>
      <c r="C17" s="18" t="n">
        <f aca="false">C16*(1+$F$6)</f>
        <v>8779147.84663762</v>
      </c>
      <c r="D17" s="18" t="n">
        <f aca="false">B17+C17</f>
        <v>12065261.5195953</v>
      </c>
      <c r="E17" s="18" t="n">
        <f aca="false">E16*(1+$F$8)</f>
        <v>17218673.3802388</v>
      </c>
      <c r="F17" s="15" t="s">
        <v>54</v>
      </c>
      <c r="G17" s="16" t="s">
        <v>57</v>
      </c>
      <c r="H17" s="17"/>
    </row>
    <row r="18" customFormat="false" ht="15" hidden="false" customHeight="false" outlineLevel="0" collapsed="false">
      <c r="A18" s="11" t="n">
        <v>2004</v>
      </c>
      <c r="B18" s="18" t="n">
        <f aca="false">B17*(1+$F$5)</f>
        <v>3260328.70428636</v>
      </c>
      <c r="C18" s="18" t="n">
        <f aca="false">C17*(1+$F$6)</f>
        <v>8849376.56181982</v>
      </c>
      <c r="D18" s="18" t="n">
        <f aca="false">B18+C18</f>
        <v>12109705.2661062</v>
      </c>
      <c r="E18" s="18" t="n">
        <f aca="false">E17*(1+$F$8)</f>
        <v>17624742.8985061</v>
      </c>
      <c r="F18" s="15" t="s">
        <v>54</v>
      </c>
      <c r="G18" s="16" t="s">
        <v>57</v>
      </c>
      <c r="H18" s="17"/>
    </row>
    <row r="19" customFormat="false" ht="15" hidden="false" customHeight="false" outlineLevel="0" collapsed="false">
      <c r="A19" s="11" t="n">
        <v>2005</v>
      </c>
      <c r="B19" s="18" t="n">
        <f aca="false">B18*(1+$F$5)</f>
        <v>3234746.0611203</v>
      </c>
      <c r="C19" s="18" t="n">
        <f aca="false">C18*(1+$F$6)</f>
        <v>8920167.07098502</v>
      </c>
      <c r="D19" s="18" t="n">
        <f aca="false">B19+C19</f>
        <v>12154913.1321053</v>
      </c>
      <c r="E19" s="18" t="n">
        <f aca="false">E18*(1+$F$8)</f>
        <v>18040388.7906335</v>
      </c>
      <c r="F19" s="15" t="s">
        <v>54</v>
      </c>
      <c r="G19" s="16" t="s">
        <v>57</v>
      </c>
      <c r="H19" s="17"/>
    </row>
    <row r="20" customFormat="false" ht="15" hidden="false" customHeight="false" outlineLevel="0" collapsed="false">
      <c r="A20" s="11" t="n">
        <v>2006</v>
      </c>
      <c r="B20" s="18" t="n">
        <f aca="false">B19*(1+$F$5)</f>
        <v>3209364.15588306</v>
      </c>
      <c r="C20" s="18" t="n">
        <f aca="false">C19*(1+$F$6)</f>
        <v>8991523.8681992</v>
      </c>
      <c r="D20" s="18" t="n">
        <f aca="false">B20+C20</f>
        <v>12200888.0240823</v>
      </c>
      <c r="E20" s="18" t="n">
        <f aca="false">E19*(1+$F$8)</f>
        <v>18465836.8971046</v>
      </c>
      <c r="F20" s="15" t="s">
        <v>54</v>
      </c>
      <c r="G20" s="16" t="s">
        <v>57</v>
      </c>
      <c r="H20" s="17"/>
    </row>
    <row r="21" customFormat="false" ht="15" hidden="false" customHeight="false" outlineLevel="0" collapsed="false">
      <c r="A21" s="11" t="n">
        <v>2007</v>
      </c>
      <c r="B21" s="18" t="n">
        <f aca="false">B20*(1+$F$5)</f>
        <v>3184181.4134553</v>
      </c>
      <c r="C21" s="18" t="n">
        <f aca="false">C20*(1+$F$6)</f>
        <v>9063451.48347858</v>
      </c>
      <c r="D21" s="18" t="n">
        <f aca="false">B21+C21</f>
        <v>12247632.8969339</v>
      </c>
      <c r="E21" s="18" t="n">
        <f aca="false">E20*(1+$F$8)</f>
        <v>18901318.3844191</v>
      </c>
      <c r="F21" s="15" t="s">
        <v>54</v>
      </c>
      <c r="G21" s="16" t="s">
        <v>57</v>
      </c>
      <c r="H21" s="17"/>
    </row>
    <row r="22" customFormat="false" ht="15" hidden="false" customHeight="false" outlineLevel="0" collapsed="false">
      <c r="A22" s="11" t="n">
        <v>2008</v>
      </c>
      <c r="B22" s="18" t="n">
        <f aca="false">B21*(1+$F$5)</f>
        <v>3159196.27107707</v>
      </c>
      <c r="C22" s="18" t="n">
        <f aca="false">C21*(1+$F$6)</f>
        <v>9135954.48307718</v>
      </c>
      <c r="D22" s="18" t="n">
        <f aca="false">B22+C22</f>
        <v>12295150.7541543</v>
      </c>
      <c r="E22" s="18" t="n">
        <f aca="false">E21*(1+$F$8)</f>
        <v>19347069.8706971</v>
      </c>
      <c r="F22" s="15" t="s">
        <v>54</v>
      </c>
      <c r="G22" s="16" t="s">
        <v>57</v>
      </c>
      <c r="H22" s="17"/>
    </row>
    <row r="23" customFormat="false" ht="15" hidden="false" customHeight="false" outlineLevel="0" collapsed="false">
      <c r="A23" s="11" t="n">
        <v>2009</v>
      </c>
      <c r="B23" s="18" t="n">
        <f aca="false">B22*(1+$F$5)</f>
        <v>3134407.17825086</v>
      </c>
      <c r="C23" s="18" t="n">
        <f aca="false">C22*(1+$F$6)</f>
        <v>9209037.46977677</v>
      </c>
      <c r="D23" s="18" t="n">
        <f aca="false">B23+C23</f>
        <v>12343444.6480276</v>
      </c>
      <c r="E23" s="18" t="n">
        <f aca="false">E22*(1+$F$8)</f>
        <v>19803333.5542451</v>
      </c>
      <c r="F23" s="15" t="s">
        <v>54</v>
      </c>
      <c r="G23" s="16" t="s">
        <v>57</v>
      </c>
      <c r="H23" s="17"/>
    </row>
    <row r="24" customFormat="false" ht="15" hidden="false" customHeight="false" outlineLevel="0" collapsed="false">
      <c r="A24" s="11" t="n">
        <v>2010</v>
      </c>
      <c r="B24" s="18" t="n">
        <f aca="false">B23*(1+$F$5)</f>
        <v>3109812.59664536</v>
      </c>
      <c r="C24" s="18" t="n">
        <f aca="false">C23*(1+$F$6)</f>
        <v>9282705.08317901</v>
      </c>
      <c r="D24" s="18" t="n">
        <f aca="false">B24+C24</f>
        <v>12392517.6798244</v>
      </c>
      <c r="E24" s="18" t="n">
        <f aca="false">E23*(1+$F$8)</f>
        <v>20270357.3451538</v>
      </c>
      <c r="F24" s="15" t="s">
        <v>54</v>
      </c>
      <c r="G24" s="16" t="s">
        <v>57</v>
      </c>
      <c r="H24" s="17"/>
    </row>
    <row r="25" customFormat="false" ht="15" hidden="false" customHeight="false" outlineLevel="0" collapsed="false">
      <c r="A25" s="11" t="n">
        <v>2011</v>
      </c>
      <c r="B25" s="14" t="n">
        <v>3085411</v>
      </c>
      <c r="C25" s="14" t="n">
        <v>9356962</v>
      </c>
      <c r="D25" s="14" t="n">
        <v>12442373</v>
      </c>
      <c r="E25" s="14" t="n">
        <v>20748395</v>
      </c>
      <c r="F25" s="11" t="n">
        <v>22800000</v>
      </c>
      <c r="G25" s="16" t="s">
        <v>55</v>
      </c>
      <c r="H25" s="17" t="s">
        <v>56</v>
      </c>
    </row>
    <row r="26" customFormat="false" ht="15" hidden="false" customHeight="false" outlineLevel="0" collapsed="false">
      <c r="A26" s="11" t="n">
        <v>2012</v>
      </c>
      <c r="B26" s="18" t="n">
        <f aca="false">B25*(1+$F$5)</f>
        <v>3061200.87403023</v>
      </c>
      <c r="C26" s="18" t="n">
        <f aca="false">C25*(1+$F$6)</f>
        <v>9431812.9343672</v>
      </c>
      <c r="D26" s="18" t="n">
        <f aca="false">B26+C26</f>
        <v>12493013.8083974</v>
      </c>
      <c r="E26" s="18" t="n">
        <f aca="false">E25*(1+$F$8)</f>
        <v>21237706.2597245</v>
      </c>
      <c r="F26" s="18" t="n">
        <f aca="false">F25*(1+$F$9)</f>
        <v>23139869.91705</v>
      </c>
      <c r="G26" s="16" t="s">
        <v>57</v>
      </c>
      <c r="H26" s="17"/>
    </row>
    <row r="27" customFormat="false" ht="15" hidden="false" customHeight="false" outlineLevel="0" collapsed="false">
      <c r="A27" s="11" t="n">
        <v>2013</v>
      </c>
      <c r="B27" s="18" t="n">
        <f aca="false">B26*(1+$F$5)</f>
        <v>3037180.71633356</v>
      </c>
      <c r="C27" s="18" t="n">
        <f aca="false">C26*(1+$F$6)</f>
        <v>9507262.63811871</v>
      </c>
      <c r="D27" s="18" t="n">
        <f aca="false">B27+C27</f>
        <v>12544443.3544523</v>
      </c>
      <c r="E27" s="18" t="n">
        <f aca="false">E26*(1+$F$8)</f>
        <v>21738556.9907619</v>
      </c>
      <c r="F27" s="18" t="n">
        <f aca="false">F26*(1+$F$9)</f>
        <v>23484806.1306139</v>
      </c>
      <c r="G27" s="16" t="s">
        <v>57</v>
      </c>
      <c r="H27" s="17"/>
    </row>
    <row r="28" customFormat="false" ht="15" hidden="false" customHeight="false" outlineLevel="0" collapsed="false">
      <c r="A28" s="11" t="n">
        <v>2014</v>
      </c>
      <c r="B28" s="18" t="n">
        <f aca="false">B27*(1+$F$5)</f>
        <v>3013349.03629632</v>
      </c>
      <c r="C28" s="18" t="n">
        <f aca="false">C27*(1+$F$6)</f>
        <v>9583315.90110488</v>
      </c>
      <c r="D28" s="18" t="n">
        <f aca="false">B28+C28</f>
        <v>12596664.9374012</v>
      </c>
      <c r="E28" s="18" t="n">
        <f aca="false">E27*(1+$F$8)</f>
        <v>22251219.3294991</v>
      </c>
      <c r="F28" s="18" t="n">
        <f aca="false">F27*(1+$F$9)</f>
        <v>23834884.1618222</v>
      </c>
      <c r="G28" s="16" t="s">
        <v>57</v>
      </c>
      <c r="H28" s="17"/>
    </row>
    <row r="29" customFormat="false" ht="15" hidden="false" customHeight="false" outlineLevel="0" collapsed="false">
      <c r="A29" s="11" t="n">
        <v>2015</v>
      </c>
      <c r="B29" s="18" t="n">
        <f aca="false">B28*(1+$F$5)</f>
        <v>2989704.35500114</v>
      </c>
      <c r="C29" s="18" t="n">
        <f aca="false">C28*(1+$F$6)</f>
        <v>9659977.55149245</v>
      </c>
      <c r="D29" s="18" t="n">
        <f aca="false">B29+C29</f>
        <v>12649681.9064936</v>
      </c>
      <c r="E29" s="18" t="n">
        <f aca="false">E28*(1+$F$8)</f>
        <v>22775971.8301394</v>
      </c>
      <c r="F29" s="18" t="n">
        <f aca="false">F28*(1+$F$9)</f>
        <v>24190180.6575667</v>
      </c>
      <c r="G29" s="16" t="s">
        <v>57</v>
      </c>
      <c r="H29" s="17"/>
    </row>
    <row r="30" customFormat="false" ht="15" hidden="false" customHeight="false" outlineLevel="0" collapsed="false">
      <c r="A30" s="11" t="n">
        <v>2016</v>
      </c>
      <c r="B30" s="18" t="n">
        <f aca="false">B29*(1+$F$5)</f>
        <v>2966245.20513523</v>
      </c>
      <c r="C30" s="18" t="n">
        <f aca="false">C29*(1+$F$6)</f>
        <v>9737252.45607103</v>
      </c>
      <c r="D30" s="18" t="n">
        <f aca="false">B30+C30</f>
        <v>12703497.6612063</v>
      </c>
      <c r="E30" s="18" t="n">
        <f aca="false">E29*(1+$F$8)</f>
        <v>23313099.6160551</v>
      </c>
      <c r="F30" s="18" t="n">
        <f aca="false">F29*(1+$F$9)</f>
        <v>24550773.4072822</v>
      </c>
      <c r="G30" s="16" t="s">
        <v>57</v>
      </c>
      <c r="H30" s="17"/>
    </row>
    <row r="31" customFormat="false" ht="15" hidden="false" customHeight="false" outlineLevel="0" collapsed="false">
      <c r="A31" s="11" t="n">
        <v>2017</v>
      </c>
      <c r="B31" s="18" t="n">
        <f aca="false">B30*(1+$F$5)</f>
        <v>2942970.13089923</v>
      </c>
      <c r="C31" s="18" t="n">
        <f aca="false">C30*(1+$F$6)</f>
        <v>9815145.52056208</v>
      </c>
      <c r="D31" s="18" t="n">
        <f aca="false">B31+C31</f>
        <v>12758115.6514613</v>
      </c>
      <c r="E31" s="18" t="n">
        <f aca="false">E30*(1+$F$8)</f>
        <v>23862894.5347085</v>
      </c>
      <c r="F31" s="18" t="n">
        <f aca="false">F30*(1+$F$9)</f>
        <v>24916741.3599772</v>
      </c>
      <c r="G31" s="16" t="s">
        <v>57</v>
      </c>
      <c r="H31" s="17"/>
    </row>
    <row r="32" customFormat="false" ht="15" hidden="false" customHeight="false" outlineLevel="0" collapsed="false">
      <c r="A32" s="11" t="n">
        <v>2018</v>
      </c>
      <c r="B32" s="18" t="n">
        <f aca="false">B31*(1+$F$5)</f>
        <v>2919877.68791697</v>
      </c>
      <c r="C32" s="18" t="n">
        <f aca="false">C31*(1+$F$6)</f>
        <v>9893661.68993031</v>
      </c>
      <c r="D32" s="18" t="n">
        <f aca="false">B32+C32</f>
        <v>12813539.3778473</v>
      </c>
      <c r="E32" s="18" t="n">
        <f aca="false">E31*(1+$F$8)</f>
        <v>24425655.3162268</v>
      </c>
      <c r="F32" s="18" t="n">
        <f aca="false">F31*(1+$F$9)</f>
        <v>25288164.6415199</v>
      </c>
      <c r="G32" s="16" t="s">
        <v>57</v>
      </c>
      <c r="H32" s="17"/>
    </row>
    <row r="33" customFormat="false" ht="15" hidden="false" customHeight="false" outlineLevel="0" collapsed="false">
      <c r="A33" s="11" t="n">
        <v>2019</v>
      </c>
      <c r="B33" s="18" t="n">
        <f aca="false">B32*(1+$F$5)</f>
        <v>2896966.44314576</v>
      </c>
      <c r="C33" s="18" t="n">
        <f aca="false">C32*(1+$F$6)</f>
        <v>9972805.94869766</v>
      </c>
      <c r="D33" s="18" t="n">
        <f aca="false">B33+C33</f>
        <v>12869772.3918434</v>
      </c>
      <c r="E33" s="18" t="n">
        <f aca="false">E32*(1+$F$8)</f>
        <v>25001687.7357165</v>
      </c>
      <c r="F33" s="18" t="n">
        <f aca="false">F32*(1+$F$9)</f>
        <v>25665124.5721805</v>
      </c>
      <c r="G33" s="16" t="s">
        <v>57</v>
      </c>
      <c r="H33" s="17"/>
    </row>
    <row r="34" customFormat="false" ht="15" hidden="false" customHeight="false" outlineLevel="0" collapsed="false">
      <c r="A34" s="11" t="n">
        <v>2020</v>
      </c>
      <c r="B34" s="18" t="n">
        <f aca="false">B33*(1+$F$5)</f>
        <v>2874234.97478749</v>
      </c>
      <c r="C34" s="18" t="n">
        <f aca="false">C33*(1+$F$6)</f>
        <v>10052583.3212597</v>
      </c>
      <c r="D34" s="18" t="n">
        <f aca="false">B34+C34</f>
        <v>12926818.2960472</v>
      </c>
      <c r="E34" s="18" t="n">
        <f aca="false">E33*(1+$F$8)</f>
        <v>25591304.779406</v>
      </c>
      <c r="F34" s="18" t="n">
        <f aca="false">F33*(1+$F$9)</f>
        <v>26047703.684436</v>
      </c>
      <c r="G34" s="16" t="s">
        <v>57</v>
      </c>
      <c r="H34" s="17"/>
    </row>
    <row r="35" customFormat="false" ht="15" hidden="false" customHeight="false" outlineLevel="0" collapsed="false">
      <c r="A35" s="11" t="n">
        <v>2021</v>
      </c>
      <c r="B35" s="18" t="n">
        <f aca="false">B34*(1+$F$5)</f>
        <v>2851681.87220041</v>
      </c>
      <c r="C35" s="18" t="n">
        <f aca="false">C34*(1+$F$6)</f>
        <v>10132998.8722046</v>
      </c>
      <c r="D35" s="18" t="n">
        <f aca="false">B35+C35</f>
        <v>12984680.744405</v>
      </c>
      <c r="E35" s="18" t="n">
        <f aca="false">E34*(1+$F$8)</f>
        <v>26194826.8147058</v>
      </c>
      <c r="F35" s="11" t="n">
        <v>27070000</v>
      </c>
      <c r="G35" s="16" t="s">
        <v>58</v>
      </c>
      <c r="H35" s="17"/>
    </row>
    <row r="36" customFormat="false" ht="15" hidden="false" customHeight="false" outlineLevel="0" collapsed="false">
      <c r="A36" s="11" t="n">
        <v>2022</v>
      </c>
      <c r="B36" s="18" t="n">
        <f aca="false">B35*(1+$F$5)</f>
        <v>2829305.73581155</v>
      </c>
      <c r="C36" s="18" t="n">
        <f aca="false">C35*(1+$F$6)</f>
        <v>10214057.7066347</v>
      </c>
      <c r="D36" s="18" t="n">
        <f aca="false">B36+C36</f>
        <v>13043363.4424462</v>
      </c>
      <c r="E36" s="18" t="n">
        <f aca="false">E35*(1+$F$8)</f>
        <v>26812581.7642798</v>
      </c>
      <c r="F36" s="11" t="n">
        <v>27120000</v>
      </c>
      <c r="G36" s="16" t="s">
        <v>58</v>
      </c>
      <c r="H36" s="17"/>
    </row>
    <row r="37" customFormat="false" ht="15" hidden="false" customHeight="false" outlineLevel="0" collapsed="false">
      <c r="A37" s="11" t="n">
        <v>2023</v>
      </c>
      <c r="B37" s="18" t="n">
        <f aca="false">B36*(1+$F$5)</f>
        <v>2807105.17702992</v>
      </c>
      <c r="C37" s="18" t="n">
        <f aca="false">C36*(1+$F$6)</f>
        <v>10295764.9704904</v>
      </c>
      <c r="D37" s="18" t="n">
        <f aca="false">B37+C37</f>
        <v>13102870.1475203</v>
      </c>
      <c r="E37" s="18" t="n">
        <f aca="false">E36*(1+$F$8)</f>
        <v>27444905.2842217</v>
      </c>
      <c r="F37" s="11" t="n">
        <v>27230000</v>
      </c>
      <c r="G37" s="16" t="s">
        <v>58</v>
      </c>
      <c r="H37" s="17"/>
    </row>
    <row r="38" customFormat="false" ht="15" hidden="false" customHeight="false" outlineLevel="0" collapsed="false">
      <c r="A38" s="11" t="n">
        <v>2024</v>
      </c>
      <c r="B38" s="18" t="n">
        <f aca="false">B37*(1+$F$5)</f>
        <v>2785078.81816029</v>
      </c>
      <c r="C38" s="18" t="n">
        <f aca="false">C37*(1+$F$6)</f>
        <v>10378125.8508773</v>
      </c>
      <c r="D38" s="18" t="n">
        <f aca="false">B38+C38</f>
        <v>13163204.6690375</v>
      </c>
      <c r="E38" s="18" t="n">
        <f aca="false">E37*(1+$F$8)</f>
        <v>28092140.9464328</v>
      </c>
      <c r="F38" s="18" t="n">
        <f aca="false">F37*(1+$F$9)</f>
        <v>27635906.0456698</v>
      </c>
      <c r="G38" s="16" t="s">
        <v>57</v>
      </c>
      <c r="H38" s="17"/>
    </row>
    <row r="39" customFormat="false" ht="15" hidden="false" customHeight="false" outlineLevel="0" collapsed="false">
      <c r="A39" s="11" t="n">
        <v>2025</v>
      </c>
      <c r="B39" s="18" t="n">
        <f aca="false">B38*(1+$F$5)</f>
        <v>2763225.29231774</v>
      </c>
      <c r="C39" s="18" t="n">
        <f aca="false">C38*(1+$F$6)</f>
        <v>10461145.5763948</v>
      </c>
      <c r="D39" s="18" t="n">
        <f aca="false">B39+C39</f>
        <v>13224370.8687126</v>
      </c>
      <c r="E39" s="18" t="n">
        <f aca="false">E38*(1+$F$8)</f>
        <v>28754640.4253012</v>
      </c>
      <c r="F39" s="18" t="n">
        <f aca="false">F38*(1+$F$9)</f>
        <v>28047862.7603779</v>
      </c>
      <c r="G39" s="16" t="s">
        <v>57</v>
      </c>
      <c r="H39" s="17"/>
    </row>
    <row r="40" customFormat="false" ht="15" hidden="false" customHeight="false" outlineLevel="0" collapsed="false">
      <c r="A40" s="11" t="n">
        <v>2026</v>
      </c>
      <c r="B40" s="18" t="n">
        <f aca="false">B39*(1+$F$5)</f>
        <v>2741543.24334278</v>
      </c>
      <c r="C40" s="18" t="n">
        <f aca="false">C39*(1+$F$6)</f>
        <v>10544829.417469</v>
      </c>
      <c r="D40" s="18" t="n">
        <f aca="false">B40+C40</f>
        <v>13286372.6608117</v>
      </c>
      <c r="E40" s="18" t="n">
        <f aca="false">E39*(1+$F$8)</f>
        <v>29432763.6887839</v>
      </c>
      <c r="F40" s="11" t="n">
        <v>27800000</v>
      </c>
      <c r="G40" s="16" t="s">
        <v>58</v>
      </c>
      <c r="H40" s="17"/>
    </row>
    <row r="41" customFormat="false" ht="15" hidden="false" customHeight="false" outlineLevel="0" collapsed="false">
      <c r="A41" s="11" t="n">
        <v>2027</v>
      </c>
      <c r="B41" s="18" t="n">
        <f aca="false">B40*(1+$F$5)</f>
        <v>2720031.32571725</v>
      </c>
      <c r="C41" s="18" t="n">
        <f aca="false">C40*(1+$F$6)</f>
        <v>10629182.6866861</v>
      </c>
      <c r="D41" s="18" t="n">
        <f aca="false">B41+C41</f>
        <v>13349214.0124033</v>
      </c>
      <c r="E41" s="18" t="n">
        <f aca="false">E40*(1+$F$8)</f>
        <v>30126879.1939944</v>
      </c>
      <c r="F41" s="18" t="n">
        <f aca="false">F40*(1+$F$9)</f>
        <v>28214402.7935961</v>
      </c>
      <c r="G41" s="16" t="s">
        <v>57</v>
      </c>
      <c r="H41" s="17"/>
    </row>
    <row r="42" customFormat="false" ht="15" hidden="false" customHeight="false" outlineLevel="0" collapsed="false">
      <c r="A42" s="11" t="n">
        <v>2028</v>
      </c>
      <c r="B42" s="18" t="n">
        <f aca="false">B41*(1+$F$5)</f>
        <v>2698688.20448079</v>
      </c>
      <c r="C42" s="18" t="n">
        <f aca="false">C41*(1+$F$6)</f>
        <v>10714210.7391307</v>
      </c>
      <c r="D42" s="18" t="n">
        <f aca="false">B42+C42</f>
        <v>13412898.9436115</v>
      </c>
      <c r="E42" s="18" t="n">
        <f aca="false">E41*(1+$F$8)</f>
        <v>30837364.0874033</v>
      </c>
      <c r="F42" s="18" t="n">
        <f aca="false">F41*(1+$F$9)</f>
        <v>28634982.9136433</v>
      </c>
      <c r="G42" s="16" t="s">
        <v>57</v>
      </c>
      <c r="H42" s="17"/>
    </row>
    <row r="43" customFormat="false" ht="15" hidden="false" customHeight="false" outlineLevel="0" collapsed="false">
      <c r="A43" s="11" t="n">
        <v>2029</v>
      </c>
      <c r="B43" s="18" t="n">
        <f aca="false">B42*(1+$F$5)</f>
        <v>2677512.55514797</v>
      </c>
      <c r="C43" s="18" t="n">
        <f aca="false">C42*(1+$F$6)</f>
        <v>10799918.9727252</v>
      </c>
      <c r="D43" s="18" t="n">
        <f aca="false">B43+C43</f>
        <v>13477431.5278732</v>
      </c>
      <c r="E43" s="18" t="n">
        <f aca="false">E42*(1+$F$8)</f>
        <v>31564604.4097602</v>
      </c>
      <c r="F43" s="18" t="n">
        <f aca="false">F42*(1+$F$9)</f>
        <v>29061832.4429235</v>
      </c>
      <c r="G43" s="16" t="s">
        <v>57</v>
      </c>
      <c r="H43" s="17"/>
    </row>
    <row r="44" customFormat="false" ht="15" hidden="false" customHeight="false" outlineLevel="0" collapsed="false">
      <c r="A44" s="11" t="n">
        <v>2030</v>
      </c>
      <c r="B44" s="18" t="n">
        <f aca="false">B43*(1+$F$5)</f>
        <v>2656503.06362617</v>
      </c>
      <c r="C44" s="18" t="n">
        <f aca="false">C43*(1+$F$6)</f>
        <v>10886312.8285727</v>
      </c>
      <c r="D44" s="18" t="n">
        <f aca="false">B44+C44</f>
        <v>13542815.8921989</v>
      </c>
      <c r="E44" s="18" t="n">
        <f aca="false">E43*(1+$F$8)</f>
        <v>32308995.3058486</v>
      </c>
      <c r="F44" s="18" t="n">
        <f aca="false">F43*(1+$F$9)</f>
        <v>29495044.8368577</v>
      </c>
      <c r="G44" s="16" t="s">
        <v>57</v>
      </c>
      <c r="H44" s="17"/>
    </row>
    <row r="45" customFormat="false" ht="15" hidden="false" customHeight="false" outlineLevel="0" collapsed="false">
      <c r="A45" s="11" t="n">
        <v>2031</v>
      </c>
      <c r="B45" s="18" t="n">
        <f aca="false">B44*(1+$F$5)</f>
        <v>2635658.42613396</v>
      </c>
      <c r="C45" s="18" t="n">
        <f aca="false">C44*(1+$F$6)</f>
        <v>10973397.7913023</v>
      </c>
      <c r="D45" s="18" t="n">
        <f aca="false">B45+C45</f>
        <v>13609056.2174363</v>
      </c>
      <c r="E45" s="18" t="n">
        <f aca="false">E44*(1+$F$8)</f>
        <v>33070941.2391864</v>
      </c>
      <c r="F45" s="18" t="n">
        <f aca="false">F44*(1+$F$9)</f>
        <v>29934714.9439669</v>
      </c>
      <c r="G45" s="16" t="s">
        <v>57</v>
      </c>
      <c r="H45" s="17"/>
    </row>
  </sheetData>
  <mergeCells count="4">
    <mergeCell ref="A1:H1"/>
    <mergeCell ref="A3:H3"/>
    <mergeCell ref="A11:H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17"/>
  </cols>
  <sheetData>
    <row r="1" customFormat="false" ht="17.35" hidden="false" customHeight="false" outlineLevel="0" collapsed="false">
      <c r="A1" s="7" t="s">
        <v>59</v>
      </c>
      <c r="B1" s="7"/>
      <c r="C1" s="7"/>
      <c r="D1" s="7"/>
      <c r="E1" s="7"/>
      <c r="F1" s="7"/>
      <c r="G1" s="7"/>
      <c r="H1" s="7"/>
      <c r="I1" s="7"/>
      <c r="J1" s="7"/>
    </row>
    <row r="3" customFormat="false" ht="26.85" hidden="false" customHeight="false" outlineLevel="0" collapsed="false">
      <c r="A3" s="9" t="s">
        <v>60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</row>
    <row r="4" customFormat="false" ht="15" hidden="false" customHeight="false" outlineLevel="0" collapsed="false">
      <c r="A4" s="10" t="s">
        <v>41</v>
      </c>
      <c r="B4" s="11" t="n">
        <v>157</v>
      </c>
      <c r="C4" s="18" t="n">
        <f aca="false">Population_by_Year!B15</f>
        <v>3338297</v>
      </c>
      <c r="D4" s="18" t="n">
        <f aca="false">C4/B4</f>
        <v>21263.0382165605</v>
      </c>
      <c r="E4" s="18" t="n">
        <f aca="false">Population_by_Year!B25</f>
        <v>3085411</v>
      </c>
      <c r="F4" s="18" t="n">
        <f aca="false">E4/B4</f>
        <v>19652.2993630573</v>
      </c>
      <c r="G4" s="18" t="n">
        <f aca="false">Population_by_Year!B35</f>
        <v>2851681.87220041</v>
      </c>
      <c r="H4" s="18" t="n">
        <f aca="false">G4/B4</f>
        <v>18163.5788038242</v>
      </c>
      <c r="I4" s="18" t="n">
        <f aca="false">Population_by_Year!B40</f>
        <v>2741543.24334278</v>
      </c>
      <c r="J4" s="18" t="n">
        <f aca="false">I4/B4</f>
        <v>17462.0588747948</v>
      </c>
    </row>
    <row r="5" customFormat="false" ht="15" hidden="false" customHeight="false" outlineLevel="0" collapsed="false">
      <c r="A5" s="10" t="s">
        <v>42</v>
      </c>
      <c r="B5" s="11" t="n">
        <v>446</v>
      </c>
      <c r="C5" s="18" t="n">
        <f aca="false">Population_by_Year!C15</f>
        <v>8640358</v>
      </c>
      <c r="D5" s="18" t="n">
        <f aca="false">C5/B5</f>
        <v>19373</v>
      </c>
      <c r="E5" s="18" t="n">
        <f aca="false">Population_by_Year!C25</f>
        <v>9356962</v>
      </c>
      <c r="F5" s="18" t="n">
        <f aca="false">E5/B5</f>
        <v>20979.735426009</v>
      </c>
      <c r="G5" s="18" t="n">
        <f aca="false">Population_by_Year!C35</f>
        <v>10132998.8722046</v>
      </c>
      <c r="H5" s="18" t="n">
        <f aca="false">G5/B5</f>
        <v>22719.7284130148</v>
      </c>
      <c r="I5" s="18" t="n">
        <f aca="false">Population_by_Year!C40</f>
        <v>10544829.417469</v>
      </c>
      <c r="J5" s="18" t="n">
        <f aca="false">I5/B5</f>
        <v>23643.1152858048</v>
      </c>
    </row>
    <row r="6" customFormat="false" ht="15" hidden="false" customHeight="false" outlineLevel="0" collapsed="false">
      <c r="A6" s="10" t="s">
        <v>70</v>
      </c>
      <c r="B6" s="11" t="n">
        <v>603</v>
      </c>
      <c r="C6" s="18" t="n">
        <f aca="false">Population_by_Year!D15</f>
        <v>11978450</v>
      </c>
      <c r="D6" s="18" t="n">
        <f aca="false">C6/B6</f>
        <v>19864.7595356551</v>
      </c>
      <c r="E6" s="18" t="n">
        <f aca="false">Population_by_Year!D25</f>
        <v>12442373</v>
      </c>
      <c r="F6" s="18" t="n">
        <f aca="false">E6/B6</f>
        <v>20634.1177446103</v>
      </c>
      <c r="G6" s="18" t="n">
        <f aca="false">Population_by_Year!D35</f>
        <v>12984680.744405</v>
      </c>
      <c r="H6" s="18" t="n">
        <f aca="false">G6/B6</f>
        <v>21533.4672378192</v>
      </c>
      <c r="I6" s="18" t="n">
        <f aca="false">Population_by_Year!D40</f>
        <v>13286372.6608117</v>
      </c>
      <c r="J6" s="18" t="n">
        <f aca="false">I6/B6</f>
        <v>22033.7855071505</v>
      </c>
    </row>
    <row r="8" customFormat="false" ht="15" hidden="false" customHeight="false" outlineLevel="0" collapsed="false">
      <c r="A8" s="10" t="s">
        <v>71</v>
      </c>
      <c r="B8" s="11" t="n">
        <v>6328</v>
      </c>
      <c r="C8" s="15" t="s">
        <v>54</v>
      </c>
      <c r="D8" s="15" t="s">
        <v>54</v>
      </c>
      <c r="E8" s="18" t="n">
        <f aca="false">Population_by_Year!F25</f>
        <v>22800000</v>
      </c>
      <c r="F8" s="18" t="n">
        <f aca="false">E8/B8</f>
        <v>3603.03413400759</v>
      </c>
      <c r="G8" s="18" t="n">
        <f aca="false">Population_by_Year!F35</f>
        <v>27070000</v>
      </c>
      <c r="H8" s="18" t="n">
        <f aca="false">G8/B8</f>
        <v>4277.81289506953</v>
      </c>
      <c r="I8" s="18" t="n">
        <f aca="false">Population_by_Year!F40</f>
        <v>27800000</v>
      </c>
      <c r="J8" s="18" t="n">
        <f aca="false">I8/B8</f>
        <v>4393.17319848293</v>
      </c>
    </row>
    <row r="10" customFormat="false" ht="15" hidden="false" customHeight="false" outlineLevel="0" collapsed="false">
      <c r="A10" s="13" t="s">
        <v>72</v>
      </c>
      <c r="B10" s="13"/>
      <c r="C10" s="13"/>
      <c r="D10" s="13"/>
      <c r="E10" s="13"/>
      <c r="F10" s="13"/>
      <c r="G10" s="13"/>
      <c r="H10" s="13"/>
      <c r="I10" s="13"/>
      <c r="J10" s="13"/>
    </row>
  </sheetData>
  <mergeCells count="2">
    <mergeCell ref="A1:J1"/>
    <mergeCell ref="A10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7" t="s">
        <v>73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8" t="s">
        <v>74</v>
      </c>
      <c r="B3" s="8"/>
      <c r="C3" s="8"/>
      <c r="D3" s="8"/>
      <c r="E3" s="8"/>
      <c r="F3" s="8"/>
    </row>
    <row r="4" customFormat="false" ht="26.85" hidden="false" customHeight="false" outlineLevel="0" collapsed="false">
      <c r="A4" s="9" t="s">
        <v>75</v>
      </c>
      <c r="B4" s="9" t="s">
        <v>76</v>
      </c>
      <c r="C4" s="9" t="s">
        <v>77</v>
      </c>
      <c r="D4" s="9" t="s">
        <v>52</v>
      </c>
      <c r="E4" s="9" t="s">
        <v>78</v>
      </c>
    </row>
    <row r="5" customFormat="false" ht="15" hidden="false" customHeight="false" outlineLevel="0" collapsed="false">
      <c r="A5" s="10" t="s">
        <v>79</v>
      </c>
      <c r="B5" s="14" t="n">
        <v>272886</v>
      </c>
      <c r="C5" s="19" t="n">
        <f aca="false">B5/Population_by_Year!B25</f>
        <v>0.0884439706735991</v>
      </c>
      <c r="D5" s="16" t="s">
        <v>80</v>
      </c>
      <c r="E5" s="17" t="s">
        <v>81</v>
      </c>
    </row>
    <row r="6" customFormat="false" ht="15" hidden="false" customHeight="false" outlineLevel="0" collapsed="false">
      <c r="A6" s="10" t="s">
        <v>82</v>
      </c>
      <c r="B6" s="18" t="n">
        <f aca="false">ROUND(Population_by_Year!B25*0.14,0)</f>
        <v>431958</v>
      </c>
      <c r="C6" s="20" t="n">
        <v>0.14</v>
      </c>
      <c r="D6" s="16" t="s">
        <v>83</v>
      </c>
      <c r="E6" s="17" t="s">
        <v>84</v>
      </c>
    </row>
    <row r="7" customFormat="false" ht="15" hidden="false" customHeight="false" outlineLevel="0" collapsed="false">
      <c r="A7" s="10" t="s">
        <v>85</v>
      </c>
      <c r="B7" s="18" t="n">
        <f aca="false">ROUND(Population_by_Year!B25*0.63,0)</f>
        <v>1943809</v>
      </c>
      <c r="C7" s="20" t="n">
        <v>0.63</v>
      </c>
      <c r="D7" s="16" t="s">
        <v>83</v>
      </c>
      <c r="E7" s="17" t="s">
        <v>86</v>
      </c>
    </row>
    <row r="8" customFormat="false" ht="15" hidden="false" customHeight="false" outlineLevel="0" collapsed="false">
      <c r="A8" s="10" t="s">
        <v>87</v>
      </c>
      <c r="B8" s="18" t="n">
        <f aca="false">ROUND(Population_by_Year!B25*0.086,0)</f>
        <v>265345</v>
      </c>
      <c r="C8" s="20" t="n">
        <v>0.086</v>
      </c>
      <c r="D8" s="16" t="s">
        <v>83</v>
      </c>
      <c r="E8" s="17" t="s">
        <v>88</v>
      </c>
    </row>
    <row r="9" customFormat="false" ht="15" hidden="false" customHeight="false" outlineLevel="0" collapsed="false">
      <c r="A9" s="21" t="s">
        <v>89</v>
      </c>
      <c r="B9" s="18" t="n">
        <f aca="false">SUM(B5:B8)</f>
        <v>2913998</v>
      </c>
      <c r="C9" s="19" t="n">
        <f aca="false">B9/Population_by_Year!B25</f>
        <v>0.94444403030909</v>
      </c>
      <c r="D9" s="22"/>
      <c r="E9" s="22"/>
    </row>
    <row r="11" customFormat="false" ht="15" hidden="false" customHeight="false" outlineLevel="0" collapsed="false">
      <c r="A11" s="23" t="s">
        <v>90</v>
      </c>
      <c r="B11" s="23"/>
      <c r="C11" s="23"/>
      <c r="D11" s="23"/>
      <c r="E11" s="23"/>
      <c r="F11" s="23"/>
    </row>
  </sheetData>
  <mergeCells count="3">
    <mergeCell ref="A1:F1"/>
    <mergeCell ref="A3:F3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26"/>
    <col collapsed="false" customWidth="true" hidden="false" outlineLevel="0" max="5" min="5" style="0" width="22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7" t="s">
        <v>91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3" t="s">
        <v>92</v>
      </c>
      <c r="B3" s="13"/>
      <c r="C3" s="13"/>
      <c r="D3" s="13"/>
      <c r="E3" s="13"/>
      <c r="F3" s="13"/>
    </row>
    <row r="5" customFormat="false" ht="26.85" hidden="false" customHeight="false" outlineLevel="0" collapsed="false">
      <c r="A5" s="9" t="s">
        <v>48</v>
      </c>
      <c r="B5" s="9" t="s">
        <v>93</v>
      </c>
      <c r="C5" s="9" t="s">
        <v>94</v>
      </c>
      <c r="D5" s="9" t="s">
        <v>95</v>
      </c>
      <c r="E5" s="9" t="s">
        <v>52</v>
      </c>
      <c r="F5" s="9" t="s">
        <v>96</v>
      </c>
    </row>
    <row r="6" customFormat="false" ht="15" hidden="false" customHeight="false" outlineLevel="0" collapsed="false">
      <c r="A6" s="11" t="n">
        <v>2001</v>
      </c>
      <c r="B6" s="18" t="n">
        <f aca="false">Population_by_Year!D15</f>
        <v>11978450</v>
      </c>
      <c r="C6" s="19" t="n">
        <f aca="false">$C$15+($C$16-$C$15)/(2011-2010)*(2001-2010)</f>
        <v>-0.024</v>
      </c>
      <c r="D6" s="18" t="n">
        <f aca="false">B6*C6</f>
        <v>-287482.8</v>
      </c>
      <c r="E6" s="16" t="s">
        <v>97</v>
      </c>
      <c r="F6" s="17" t="s">
        <v>98</v>
      </c>
    </row>
    <row r="7" customFormat="false" ht="15" hidden="false" customHeight="false" outlineLevel="0" collapsed="false">
      <c r="A7" s="11" t="n">
        <v>2002</v>
      </c>
      <c r="B7" s="18" t="n">
        <f aca="false">Population_by_Year!D16</f>
        <v>12021579.034304</v>
      </c>
      <c r="C7" s="19" t="n">
        <f aca="false">$C$15+($C$16-$C$15)/(2011-2010)*(2002-2010)</f>
        <v>-0.013</v>
      </c>
      <c r="D7" s="18" t="n">
        <f aca="false">B7*C7</f>
        <v>-156280.527445951</v>
      </c>
      <c r="E7" s="16" t="s">
        <v>97</v>
      </c>
      <c r="F7" s="17" t="s">
        <v>98</v>
      </c>
    </row>
    <row r="8" customFormat="false" ht="15" hidden="false" customHeight="false" outlineLevel="0" collapsed="false">
      <c r="A8" s="11" t="n">
        <v>2003</v>
      </c>
      <c r="B8" s="18" t="n">
        <f aca="false">Population_by_Year!D17</f>
        <v>12065261.5195953</v>
      </c>
      <c r="C8" s="19" t="n">
        <f aca="false">$C$15+($C$16-$C$15)/(2011-2010)*(2003-2010)</f>
        <v>-0.00199999999999997</v>
      </c>
      <c r="D8" s="18" t="n">
        <f aca="false">B8*C8</f>
        <v>-24130.5230391904</v>
      </c>
      <c r="E8" s="16" t="s">
        <v>97</v>
      </c>
      <c r="F8" s="17" t="s">
        <v>98</v>
      </c>
    </row>
    <row r="9" customFormat="false" ht="15" hidden="false" customHeight="false" outlineLevel="0" collapsed="false">
      <c r="A9" s="11" t="n">
        <v>2004</v>
      </c>
      <c r="B9" s="18" t="n">
        <f aca="false">Population_by_Year!D18</f>
        <v>12109705.2661062</v>
      </c>
      <c r="C9" s="19" t="n">
        <f aca="false">$C$15+($C$16-$C$15)/(2011-2010)*(2004-2010)</f>
        <v>0.00900000000000002</v>
      </c>
      <c r="D9" s="18" t="n">
        <f aca="false">B9*C9</f>
        <v>108987.347394956</v>
      </c>
      <c r="E9" s="16" t="s">
        <v>97</v>
      </c>
      <c r="F9" s="17" t="s">
        <v>98</v>
      </c>
    </row>
    <row r="10" customFormat="false" ht="15" hidden="false" customHeight="false" outlineLevel="0" collapsed="false">
      <c r="A10" s="11" t="n">
        <v>2005</v>
      </c>
      <c r="B10" s="18" t="n">
        <f aca="false">Population_by_Year!D19</f>
        <v>12154913.1321053</v>
      </c>
      <c r="C10" s="19" t="n">
        <f aca="false">$C$15+($C$16-$C$15)/(2011-2010)*(2005-2010)</f>
        <v>0.02</v>
      </c>
      <c r="D10" s="18" t="n">
        <f aca="false">B10*C10</f>
        <v>243098.262642107</v>
      </c>
      <c r="E10" s="16" t="s">
        <v>97</v>
      </c>
      <c r="F10" s="17" t="s">
        <v>98</v>
      </c>
    </row>
    <row r="11" customFormat="false" ht="15" hidden="false" customHeight="false" outlineLevel="0" collapsed="false">
      <c r="A11" s="11" t="n">
        <v>2006</v>
      </c>
      <c r="B11" s="18" t="n">
        <f aca="false">Population_by_Year!D20</f>
        <v>12200888.0240823</v>
      </c>
      <c r="C11" s="19" t="n">
        <f aca="false">$C$15+($C$16-$C$15)/(2011-2010)*(2006-2010)</f>
        <v>0.031</v>
      </c>
      <c r="D11" s="18" t="n">
        <f aca="false">B11*C11</f>
        <v>378227.52874655</v>
      </c>
      <c r="E11" s="16" t="s">
        <v>97</v>
      </c>
      <c r="F11" s="17" t="s">
        <v>98</v>
      </c>
    </row>
    <row r="12" customFormat="false" ht="15" hidden="false" customHeight="false" outlineLevel="0" collapsed="false">
      <c r="A12" s="11" t="n">
        <v>2007</v>
      </c>
      <c r="B12" s="18" t="n">
        <f aca="false">Population_by_Year!D21</f>
        <v>12247632.8969339</v>
      </c>
      <c r="C12" s="19" t="n">
        <f aca="false">$C$15+($C$16-$C$15)/(2011-2010)*(2007-2010)</f>
        <v>0.042</v>
      </c>
      <c r="D12" s="18" t="n">
        <f aca="false">B12*C12</f>
        <v>514400.581671223</v>
      </c>
      <c r="E12" s="16" t="s">
        <v>97</v>
      </c>
      <c r="F12" s="17" t="s">
        <v>98</v>
      </c>
    </row>
    <row r="13" customFormat="false" ht="15" hidden="false" customHeight="false" outlineLevel="0" collapsed="false">
      <c r="A13" s="11" t="n">
        <v>2008</v>
      </c>
      <c r="B13" s="18" t="n">
        <f aca="false">Population_by_Year!D22</f>
        <v>12295150.7541543</v>
      </c>
      <c r="C13" s="19" t="n">
        <f aca="false">$C$15+($C$16-$C$15)/(2011-2010)*(2008-2010)</f>
        <v>0.053</v>
      </c>
      <c r="D13" s="18" t="n">
        <f aca="false">B13*C13</f>
        <v>651642.989970175</v>
      </c>
      <c r="E13" s="16" t="s">
        <v>97</v>
      </c>
      <c r="F13" s="17" t="s">
        <v>98</v>
      </c>
    </row>
    <row r="14" customFormat="false" ht="15" hidden="false" customHeight="false" outlineLevel="0" collapsed="false">
      <c r="A14" s="11" t="n">
        <v>2009</v>
      </c>
      <c r="B14" s="18" t="n">
        <f aca="false">Population_by_Year!D23</f>
        <v>12343444.6480276</v>
      </c>
      <c r="C14" s="19" t="n">
        <f aca="false">$C$15+($C$16-$C$15)/(2011-2010)*(2009-2010)</f>
        <v>0.064</v>
      </c>
      <c r="D14" s="18" t="n">
        <f aca="false">B14*C14</f>
        <v>789980.457473769</v>
      </c>
      <c r="E14" s="16" t="s">
        <v>97</v>
      </c>
      <c r="F14" s="17" t="s">
        <v>98</v>
      </c>
    </row>
    <row r="15" customFormat="false" ht="15" hidden="false" customHeight="false" outlineLevel="0" collapsed="false">
      <c r="A15" s="11" t="n">
        <v>2010</v>
      </c>
      <c r="B15" s="18" t="n">
        <f aca="false">Population_by_Year!D24</f>
        <v>12392517.6798244</v>
      </c>
      <c r="C15" s="20" t="n">
        <v>0.075</v>
      </c>
      <c r="D15" s="18" t="n">
        <f aca="false">B15*C15</f>
        <v>929438.825986828</v>
      </c>
      <c r="E15" s="16" t="s">
        <v>99</v>
      </c>
      <c r="F15" s="17" t="s">
        <v>100</v>
      </c>
    </row>
    <row r="16" customFormat="false" ht="15" hidden="false" customHeight="false" outlineLevel="0" collapsed="false">
      <c r="A16" s="11" t="n">
        <v>2011</v>
      </c>
      <c r="B16" s="18" t="n">
        <f aca="false">Population_by_Year!D25</f>
        <v>12442373</v>
      </c>
      <c r="C16" s="20" t="n">
        <v>0.086</v>
      </c>
      <c r="D16" s="18" t="n">
        <f aca="false">B16*C16</f>
        <v>1070044.078</v>
      </c>
      <c r="E16" s="16" t="s">
        <v>55</v>
      </c>
      <c r="F16" s="17" t="s">
        <v>101</v>
      </c>
    </row>
    <row r="17" customFormat="false" ht="15" hidden="false" customHeight="false" outlineLevel="0" collapsed="false">
      <c r="A17" s="11" t="n">
        <v>2012</v>
      </c>
      <c r="B17" s="18" t="n">
        <f aca="false">Population_by_Year!D26</f>
        <v>12493013.8083974</v>
      </c>
      <c r="C17" s="19" t="n">
        <f aca="false">$C$16+($C$30-$C$16)/(2025-2011)*(2012-2011)</f>
        <v>0.0877857142857143</v>
      </c>
      <c r="D17" s="18" t="n">
        <f aca="false">B17*C17</f>
        <v>1096708.14075146</v>
      </c>
      <c r="E17" s="16" t="s">
        <v>97</v>
      </c>
      <c r="F17" s="17" t="s">
        <v>98</v>
      </c>
    </row>
    <row r="18" customFormat="false" ht="15" hidden="false" customHeight="false" outlineLevel="0" collapsed="false">
      <c r="A18" s="11" t="n">
        <v>2013</v>
      </c>
      <c r="B18" s="18" t="n">
        <f aca="false">Population_by_Year!D27</f>
        <v>12544443.3544523</v>
      </c>
      <c r="C18" s="19" t="n">
        <f aca="false">$C$16+($C$30-$C$16)/(2025-2011)*(2013-2011)</f>
        <v>0.0895714285714286</v>
      </c>
      <c r="D18" s="18" t="n">
        <f aca="false">B18*C18</f>
        <v>1123623.71189165</v>
      </c>
      <c r="E18" s="16" t="s">
        <v>97</v>
      </c>
      <c r="F18" s="17" t="s">
        <v>98</v>
      </c>
    </row>
    <row r="19" customFormat="false" ht="15" hidden="false" customHeight="false" outlineLevel="0" collapsed="false">
      <c r="A19" s="11" t="n">
        <v>2014</v>
      </c>
      <c r="B19" s="18" t="n">
        <f aca="false">Population_by_Year!D28</f>
        <v>12596664.9374012</v>
      </c>
      <c r="C19" s="19" t="n">
        <f aca="false">$C$16+($C$30-$C$16)/(2025-2011)*(2014-2011)</f>
        <v>0.0913571428571429</v>
      </c>
      <c r="D19" s="18" t="n">
        <f aca="false">B19*C19</f>
        <v>1150795.31820972</v>
      </c>
      <c r="E19" s="16" t="s">
        <v>97</v>
      </c>
      <c r="F19" s="17" t="s">
        <v>98</v>
      </c>
    </row>
    <row r="20" customFormat="false" ht="15" hidden="false" customHeight="false" outlineLevel="0" collapsed="false">
      <c r="A20" s="11" t="n">
        <v>2015</v>
      </c>
      <c r="B20" s="18" t="n">
        <f aca="false">Population_by_Year!D29</f>
        <v>12649681.9064936</v>
      </c>
      <c r="C20" s="19" t="n">
        <f aca="false">$C$16+($C$30-$C$16)/(2025-2011)*(2015-2011)</f>
        <v>0.0931428571428571</v>
      </c>
      <c r="D20" s="18" t="n">
        <f aca="false">B20*C20</f>
        <v>1178227.51471912</v>
      </c>
      <c r="E20" s="16" t="s">
        <v>97</v>
      </c>
      <c r="F20" s="17" t="s">
        <v>98</v>
      </c>
    </row>
    <row r="21" customFormat="false" ht="15" hidden="false" customHeight="false" outlineLevel="0" collapsed="false">
      <c r="A21" s="11" t="n">
        <v>2016</v>
      </c>
      <c r="B21" s="18" t="n">
        <f aca="false">Population_by_Year!D30</f>
        <v>12703497.6612063</v>
      </c>
      <c r="C21" s="19" t="n">
        <f aca="false">$C$16+($C$30-$C$16)/(2025-2011)*(2016-2011)</f>
        <v>0.0949285714285714</v>
      </c>
      <c r="D21" s="18" t="n">
        <f aca="false">B21*C21</f>
        <v>1205924.88512451</v>
      </c>
      <c r="E21" s="16" t="s">
        <v>97</v>
      </c>
      <c r="F21" s="17" t="s">
        <v>98</v>
      </c>
    </row>
    <row r="22" customFormat="false" ht="15" hidden="false" customHeight="false" outlineLevel="0" collapsed="false">
      <c r="A22" s="11" t="n">
        <v>2017</v>
      </c>
      <c r="B22" s="18" t="n">
        <f aca="false">Population_by_Year!D31</f>
        <v>12758115.6514613</v>
      </c>
      <c r="C22" s="19" t="n">
        <f aca="false">$C$16+($C$30-$C$16)/(2025-2011)*(2017-2011)</f>
        <v>0.0967142857142857</v>
      </c>
      <c r="D22" s="18" t="n">
        <f aca="false">B22*C22</f>
        <v>1233892.04229133</v>
      </c>
      <c r="E22" s="16" t="s">
        <v>97</v>
      </c>
      <c r="F22" s="17" t="s">
        <v>98</v>
      </c>
    </row>
    <row r="23" customFormat="false" ht="15" hidden="false" customHeight="false" outlineLevel="0" collapsed="false">
      <c r="A23" s="11" t="n">
        <v>2018</v>
      </c>
      <c r="B23" s="18" t="n">
        <f aca="false">Population_by_Year!D32</f>
        <v>12813539.3778473</v>
      </c>
      <c r="C23" s="19" t="n">
        <f aca="false">$C$16+($C$30-$C$16)/(2025-2011)*(2018-2011)</f>
        <v>0.0985</v>
      </c>
      <c r="D23" s="18" t="n">
        <f aca="false">B23*C23</f>
        <v>1262133.62871796</v>
      </c>
      <c r="E23" s="16" t="s">
        <v>97</v>
      </c>
      <c r="F23" s="17" t="s">
        <v>98</v>
      </c>
    </row>
    <row r="24" customFormat="false" ht="15" hidden="false" customHeight="false" outlineLevel="0" collapsed="false">
      <c r="A24" s="11" t="n">
        <v>2019</v>
      </c>
      <c r="B24" s="18" t="n">
        <f aca="false">Population_by_Year!D33</f>
        <v>12869772.3918434</v>
      </c>
      <c r="C24" s="19" t="n">
        <f aca="false">$C$16+($C$30-$C$16)/(2025-2011)*(2019-2011)</f>
        <v>0.100285714285714</v>
      </c>
      <c r="D24" s="18" t="n">
        <f aca="false">B24*C24</f>
        <v>1290654.31701058</v>
      </c>
      <c r="E24" s="16" t="s">
        <v>97</v>
      </c>
      <c r="F24" s="17" t="s">
        <v>98</v>
      </c>
    </row>
    <row r="25" customFormat="false" ht="15" hidden="false" customHeight="false" outlineLevel="0" collapsed="false">
      <c r="A25" s="11" t="n">
        <v>2020</v>
      </c>
      <c r="B25" s="18" t="n">
        <f aca="false">Population_by_Year!D34</f>
        <v>12926818.2960472</v>
      </c>
      <c r="C25" s="19" t="n">
        <f aca="false">$C$16+($C$30-$C$16)/(2025-2011)*(2020-2011)</f>
        <v>0.102071428571429</v>
      </c>
      <c r="D25" s="18" t="n">
        <f aca="false">B25*C25</f>
        <v>1319458.81036082</v>
      </c>
      <c r="E25" s="16" t="s">
        <v>97</v>
      </c>
      <c r="F25" s="17" t="s">
        <v>98</v>
      </c>
    </row>
    <row r="26" customFormat="false" ht="15" hidden="false" customHeight="false" outlineLevel="0" collapsed="false">
      <c r="A26" s="11" t="n">
        <v>2021</v>
      </c>
      <c r="B26" s="18" t="n">
        <f aca="false">Population_by_Year!D35</f>
        <v>12984680.744405</v>
      </c>
      <c r="C26" s="19" t="n">
        <f aca="false">$C$16+($C$30-$C$16)/(2025-2011)*(2021-2011)</f>
        <v>0.103857142857143</v>
      </c>
      <c r="D26" s="18" t="n">
        <f aca="false">B26*C26</f>
        <v>1348551.84302606</v>
      </c>
      <c r="E26" s="16" t="s">
        <v>97</v>
      </c>
      <c r="F26" s="17" t="s">
        <v>98</v>
      </c>
    </row>
    <row r="27" customFormat="false" ht="15" hidden="false" customHeight="false" outlineLevel="0" collapsed="false">
      <c r="A27" s="11" t="n">
        <v>2022</v>
      </c>
      <c r="B27" s="18" t="n">
        <f aca="false">Population_by_Year!D36</f>
        <v>13043363.4424462</v>
      </c>
      <c r="C27" s="19" t="n">
        <f aca="false">$C$16+($C$30-$C$16)/(2025-2011)*(2022-2011)</f>
        <v>0.105642857142857</v>
      </c>
      <c r="D27" s="18" t="n">
        <f aca="false">B27*C27</f>
        <v>1377938.18081271</v>
      </c>
      <c r="E27" s="16" t="s">
        <v>97</v>
      </c>
      <c r="F27" s="17" t="s">
        <v>98</v>
      </c>
    </row>
    <row r="28" customFormat="false" ht="15" hidden="false" customHeight="false" outlineLevel="0" collapsed="false">
      <c r="A28" s="11" t="n">
        <v>2023</v>
      </c>
      <c r="B28" s="18" t="n">
        <f aca="false">Population_by_Year!D37</f>
        <v>13102870.1475203</v>
      </c>
      <c r="C28" s="19" t="n">
        <f aca="false">$C$16+($C$30-$C$16)/(2025-2011)*(2023-2011)</f>
        <v>0.107428571428571</v>
      </c>
      <c r="D28" s="18" t="n">
        <f aca="false">B28*C28</f>
        <v>1407622.62156218</v>
      </c>
      <c r="E28" s="16" t="s">
        <v>97</v>
      </c>
      <c r="F28" s="17" t="s">
        <v>98</v>
      </c>
    </row>
    <row r="29" customFormat="false" ht="15" hidden="false" customHeight="false" outlineLevel="0" collapsed="false">
      <c r="A29" s="11" t="n">
        <v>2024</v>
      </c>
      <c r="B29" s="18" t="n">
        <f aca="false">Population_by_Year!D38</f>
        <v>13163204.6690375</v>
      </c>
      <c r="C29" s="19" t="n">
        <f aca="false">$C$16+($C$30-$C$16)/(2025-2011)*(2024-2011)</f>
        <v>0.109214285714286</v>
      </c>
      <c r="D29" s="18" t="n">
        <f aca="false">B29*C29</f>
        <v>1437609.99563989</v>
      </c>
      <c r="E29" s="16" t="s">
        <v>97</v>
      </c>
      <c r="F29" s="17" t="s">
        <v>98</v>
      </c>
    </row>
    <row r="30" customFormat="false" ht="15" hidden="false" customHeight="false" outlineLevel="0" collapsed="false">
      <c r="A30" s="11" t="n">
        <v>2025</v>
      </c>
      <c r="B30" s="18" t="n">
        <f aca="false">Population_by_Year!D39</f>
        <v>13224370.8687126</v>
      </c>
      <c r="C30" s="20" t="n">
        <v>0.111</v>
      </c>
      <c r="D30" s="18" t="n">
        <f aca="false">B30*C30</f>
        <v>1467905.1664271</v>
      </c>
      <c r="E30" s="16" t="s">
        <v>99</v>
      </c>
      <c r="F30" s="17" t="s">
        <v>100</v>
      </c>
    </row>
    <row r="31" customFormat="false" ht="15" hidden="false" customHeight="false" outlineLevel="0" collapsed="false">
      <c r="A31" s="11" t="n">
        <v>2026</v>
      </c>
      <c r="B31" s="18" t="n">
        <f aca="false">Population_by_Year!D40</f>
        <v>13286372.6608117</v>
      </c>
      <c r="C31" s="19" t="n">
        <f aca="false">$C$16+($C$30-$C$16)/(2025-2011)*(2026-2011)</f>
        <v>0.112785714285714</v>
      </c>
      <c r="D31" s="18" t="n">
        <f aca="false">B31*C31</f>
        <v>1498513.03081584</v>
      </c>
      <c r="E31" s="16" t="s">
        <v>97</v>
      </c>
      <c r="F31" s="17" t="s">
        <v>98</v>
      </c>
    </row>
    <row r="32" customFormat="false" ht="15" hidden="false" customHeight="false" outlineLevel="0" collapsed="false">
      <c r="A32" s="11" t="n">
        <v>2027</v>
      </c>
      <c r="B32" s="18" t="n">
        <f aca="false">Population_by_Year!D41</f>
        <v>13349214.0124033</v>
      </c>
      <c r="C32" s="19" t="n">
        <f aca="false">$C$16+($C$30-$C$16)/(2025-2011)*(2027-2011)</f>
        <v>0.114571428571429</v>
      </c>
      <c r="D32" s="18" t="n">
        <f aca="false">B32*C32</f>
        <v>1529438.51970678</v>
      </c>
      <c r="E32" s="16" t="s">
        <v>97</v>
      </c>
      <c r="F32" s="17" t="s">
        <v>98</v>
      </c>
    </row>
    <row r="33" customFormat="false" ht="15" hidden="false" customHeight="false" outlineLevel="0" collapsed="false">
      <c r="A33" s="11" t="n">
        <v>2028</v>
      </c>
      <c r="B33" s="18" t="n">
        <f aca="false">Population_by_Year!D42</f>
        <v>13412898.9436115</v>
      </c>
      <c r="C33" s="19" t="n">
        <f aca="false">$C$16+($C$30-$C$16)/(2025-2011)*(2028-2011)</f>
        <v>0.116357142857143</v>
      </c>
      <c r="D33" s="18" t="n">
        <f aca="false">B33*C33</f>
        <v>1560686.59851022</v>
      </c>
      <c r="E33" s="16" t="s">
        <v>97</v>
      </c>
      <c r="F33" s="17" t="s">
        <v>98</v>
      </c>
    </row>
    <row r="34" customFormat="false" ht="15" hidden="false" customHeight="false" outlineLevel="0" collapsed="false">
      <c r="A34" s="11" t="n">
        <v>2029</v>
      </c>
      <c r="B34" s="18" t="n">
        <f aca="false">Population_by_Year!D43</f>
        <v>13477431.5278732</v>
      </c>
      <c r="C34" s="19" t="n">
        <f aca="false">$C$16+($C$30-$C$16)/(2025-2011)*(2029-2011)</f>
        <v>0.118142857142857</v>
      </c>
      <c r="D34" s="18" t="n">
        <f aca="false">B34*C34</f>
        <v>1592262.26765016</v>
      </c>
      <c r="E34" s="16" t="s">
        <v>97</v>
      </c>
      <c r="F34" s="17" t="s">
        <v>98</v>
      </c>
    </row>
    <row r="35" customFormat="false" ht="15" hidden="false" customHeight="false" outlineLevel="0" collapsed="false">
      <c r="A35" s="11" t="n">
        <v>2030</v>
      </c>
      <c r="B35" s="18" t="n">
        <f aca="false">Population_by_Year!D44</f>
        <v>13542815.8921989</v>
      </c>
      <c r="C35" s="19" t="n">
        <f aca="false">$C$16+($C$30-$C$16)/(2025-2011)*(2030-2011)</f>
        <v>0.119928571428571</v>
      </c>
      <c r="D35" s="18" t="n">
        <f aca="false">B35*C35</f>
        <v>1624170.56307156</v>
      </c>
      <c r="E35" s="16" t="s">
        <v>97</v>
      </c>
      <c r="F35" s="17" t="s">
        <v>98</v>
      </c>
    </row>
    <row r="36" customFormat="false" ht="15" hidden="false" customHeight="false" outlineLevel="0" collapsed="false">
      <c r="A36" s="11" t="n">
        <v>2031</v>
      </c>
      <c r="B36" s="18" t="n">
        <f aca="false">Population_by_Year!D45</f>
        <v>13609056.2174363</v>
      </c>
      <c r="C36" s="19" t="n">
        <f aca="false">$C$16+($C$30-$C$16)/(2025-2011)*(2031-2011)</f>
        <v>0.121714285714286</v>
      </c>
      <c r="D36" s="18" t="n">
        <f aca="false">B36*C36</f>
        <v>1656416.55675081</v>
      </c>
      <c r="E36" s="16" t="s">
        <v>97</v>
      </c>
      <c r="F36" s="17" t="s">
        <v>98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2026-09-03T18:28:08Z</dcterms:created>
  <dc:creator>openpyxl</dc:creator>
  <dc:description/>
  <dc:language>en-US</dc:language>
  <cp:lastModifiedBy/>
  <dcterms:modified xsi:type="dcterms:W3CDTF">2026-09-03T18:28:08Z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